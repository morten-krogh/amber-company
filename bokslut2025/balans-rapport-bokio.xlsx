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srapport" sheetId="1" r:id="rId1"/>
  </sheets>
  <definedNames>
    <definedName name="_xlnm.Print_Area" localSheetId="0">Balansrapport!$A$1:$E$57</definedName>
  </definedNames>
  <calcPr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sz val="10"/>
      <name val="Calibri"/>
    </font>
    <font>
      <b/>
      <sz val="10"/>
      <name val="Calibri"/>
    </font>
    <font>
      <b/>
      <color rgb="FF9C0006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DF3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1" fillId="2" borderId="0" xfId="0"/>
    <xf numFmtId="164" fontId="0" fillId="0" borderId="0" xfId="0" applyNumberFormat="1"/>
    <xf numFmtId="164" fontId="1" fillId="0" borderId="0" xfId="0" applyNumberFormat="1"/>
    <xf numFmtId="164" fontId="2" fillId="0" borderId="0" xfId="0" applyNumberFormat="1"/>
    <xf numFmtId="0" fontId="0" fillId="0" borderId="0" xfId="0">
      <alignment wrapText="1" vertical="top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6" topLeftCell="A7" activePane="bottomLeft" state="frozen"/>
    </sheetView>
  </sheetViews>
  <sheetFormatPr defaultRowHeight="19"/>
  <cols>
    <col min="1" max="1" width="9" customWidth="1"/>
    <col min="2" max="2" width="60" customWidth="1"/>
    <col min="3" max="5" width="20" customWidth="1"/>
  </cols>
  <sheetData>
    <row r="1" ht="22" customHeight="1">
      <c r="A1" s="1" t="inlineStr">
        <is>
          <t>Balansrapport</t>
        </is>
      </c>
    </row>
    <row r="2" ht="22" customHeight="1">
      <c r="A2" s="0" t="inlineStr">
        <is>
          <t>Amber BioSciences AB · 5567557763</t>
        </is>
      </c>
    </row>
    <row r="3" ht="22" customHeight="1">
      <c r="A3" s="0" t="inlineStr">
        <is>
          <t>Räkenskapsår: 20250501–20260430 · Senaste verifikation: V101</t>
        </is>
      </c>
    </row>
    <row r="4" ht="22" customHeight="1">
      <c r="A4" s="0" t="inlineStr">
        <is>
          <t>Källa: sie4-2025.se · Genererad: 2026-09-30T22:16:31+02:00</t>
        </is>
      </c>
    </row>
    <row r="6">
      <c r="A6" s="2" t="inlineStr">
        <is>
          <t>Konto</t>
        </is>
      </c>
      <c r="B6" s="2" t="inlineStr">
        <is>
          <t>Kontonamn</t>
        </is>
      </c>
      <c r="C6" s="2" t="inlineStr">
        <is>
          <t>Ingående balans</t>
        </is>
      </c>
      <c r="D6" s="2" t="inlineStr">
        <is>
          <t>Period</t>
        </is>
      </c>
      <c r="E6" s="2" t="inlineStr">
        <is>
          <t>Utgående balans</t>
        </is>
      </c>
    </row>
    <row r="7" ht="19" customHeight="1">
      <c r="A7" s="2" t="inlineStr">
        <is>
          <t/>
        </is>
      </c>
      <c r="B7" s="2" t="inlineStr">
        <is>
          <t>Tillgångar</t>
        </is>
      </c>
    </row>
    <row r="8" ht="19" customHeight="1">
      <c r="A8" s="2" t="inlineStr">
        <is>
          <t/>
        </is>
      </c>
      <c r="B8" s="2" t="inlineStr">
        <is>
          <t>Anläggningstillgångar</t>
        </is>
      </c>
    </row>
    <row r="9" ht="19" customHeight="1">
      <c r="A9" s="0" t="inlineStr">
        <is>
          <t>1250</t>
        </is>
      </c>
      <c r="B9" s="0" t="inlineStr">
        <is>
          <t>Datorer</t>
        </is>
      </c>
      <c r="C9" s="3">
        <v>184438.05</v>
      </c>
      <c r="D9" s="3">
        <f>E9-C9</f>
        <v>0.00</v>
      </c>
      <c r="E9" s="3">
        <v>184438.05</v>
      </c>
    </row>
    <row r="10" ht="19" customHeight="1">
      <c r="A10" s="0" t="inlineStr">
        <is>
          <t>1259</t>
        </is>
      </c>
      <c r="B10" s="0" t="inlineStr">
        <is>
          <t>Ackumulerade avskrivningar på datorer</t>
        </is>
      </c>
      <c r="C10" s="3">
        <v>-168598.84</v>
      </c>
      <c r="D10" s="3">
        <f>E10-C10</f>
        <v>-15839.21</v>
      </c>
      <c r="E10" s="3">
        <v>-184438.05</v>
      </c>
    </row>
    <row r="11" ht="19" customHeight="1">
      <c r="A11" s="0" t="inlineStr">
        <is>
          <t>1350</t>
        </is>
      </c>
      <c r="B11" s="0" t="inlineStr">
        <is>
          <t>Andelar och värdepapper i andra företag</t>
        </is>
      </c>
      <c r="C11" s="3">
        <v>927670.00</v>
      </c>
      <c r="D11" s="3">
        <f>E11-C11</f>
        <v>210246.00</v>
      </c>
      <c r="E11" s="3">
        <v>1137916.00</v>
      </c>
    </row>
    <row r="12" ht="19" customHeight="1">
      <c r="A12" s="0" t="inlineStr">
        <is>
          <t>1384</t>
        </is>
      </c>
      <c r="B12" s="0" t="inlineStr">
        <is>
          <t>Derivat</t>
        </is>
      </c>
      <c r="C12" s="3">
        <v>2856.00</v>
      </c>
      <c r="D12" s="3">
        <f>E12-C12</f>
        <v>0.00</v>
      </c>
      <c r="E12" s="3">
        <v>2856.00</v>
      </c>
    </row>
    <row r="13" ht="19" customHeight="1">
      <c r="A13" s="4" t="inlineStr">
        <is>
          <t/>
        </is>
      </c>
      <c r="B13" s="4" t="inlineStr">
        <is>
          <t>Summa anläggningstillgångar</t>
        </is>
      </c>
      <c r="C13" s="4">
        <f>C9+C10+C11+C12</f>
        <v>946365.21</v>
      </c>
      <c r="D13" s="4">
        <f>D9+D10+D11+D12</f>
        <v>194406.79</v>
      </c>
      <c r="E13" s="4">
        <f>E9+E10+E11+E12</f>
        <v>1140772.00</v>
      </c>
    </row>
    <row r="14" ht="19" customHeight="1">
      <c r="A14" s="2" t="inlineStr">
        <is>
          <t/>
        </is>
      </c>
      <c r="B14" s="2" t="inlineStr">
        <is>
          <t>Omsättningstillgångar</t>
        </is>
      </c>
    </row>
    <row r="15" ht="19" customHeight="1">
      <c r="A15" s="0" t="inlineStr">
        <is>
          <t>1510</t>
        </is>
      </c>
      <c r="B15" s="0" t="inlineStr">
        <is>
          <t>Kundfordringar</t>
        </is>
      </c>
      <c r="C15" s="3">
        <v>-0.33</v>
      </c>
      <c r="D15" s="3">
        <f>E15-C15</f>
        <v>147825.33</v>
      </c>
      <c r="E15" s="3">
        <v>147825.00</v>
      </c>
    </row>
    <row r="16" ht="19" customHeight="1">
      <c r="A16" s="0" t="inlineStr">
        <is>
          <t>1511</t>
        </is>
      </c>
      <c r="B16" s="0" t="inlineStr">
        <is>
          <t>Kundfordringar</t>
        </is>
      </c>
      <c r="C16" s="3">
        <v>0.00</v>
      </c>
      <c r="D16" s="3">
        <f>E16-C16</f>
        <v>0.00</v>
      </c>
      <c r="E16" s="3">
        <v>0.00</v>
      </c>
    </row>
    <row r="17" ht="19" customHeight="1">
      <c r="A17" s="0" t="inlineStr">
        <is>
          <t>1630</t>
        </is>
      </c>
      <c r="B17" s="0" t="inlineStr">
        <is>
          <t>Avräkning för skatter och avgifter (skattekonto)</t>
        </is>
      </c>
      <c r="C17" s="3">
        <v>18090.11</v>
      </c>
      <c r="D17" s="3">
        <f>E17-C17</f>
        <v>78588.89</v>
      </c>
      <c r="E17" s="3">
        <v>96679.00</v>
      </c>
    </row>
    <row r="18" ht="19" customHeight="1">
      <c r="A18" s="0" t="inlineStr">
        <is>
          <t>1640</t>
        </is>
      </c>
      <c r="B18" s="0" t="inlineStr">
        <is>
          <t>Skattefordringar</t>
        </is>
      </c>
      <c r="C18" s="3">
        <v>0.00</v>
      </c>
      <c r="D18" s="3">
        <f>E18-C18</f>
        <v>0.00</v>
      </c>
      <c r="E18" s="3">
        <v>0.00</v>
      </c>
    </row>
    <row r="19" ht="19" customHeight="1">
      <c r="A19" s="0" t="inlineStr">
        <is>
          <t>1650</t>
        </is>
      </c>
      <c r="B19" s="0" t="inlineStr">
        <is>
          <t>Momsfordran</t>
        </is>
      </c>
      <c r="C19" s="3">
        <v>0.00</v>
      </c>
      <c r="D19" s="3">
        <f>E19-C19</f>
        <v>0.00</v>
      </c>
      <c r="E19" s="3">
        <v>0.00</v>
      </c>
    </row>
    <row r="20" ht="19" customHeight="1">
      <c r="A20" s="0" t="inlineStr">
        <is>
          <t>1930</t>
        </is>
      </c>
      <c r="B20" s="0" t="inlineStr">
        <is>
          <t>Företagskonto / affärskonto</t>
        </is>
      </c>
      <c r="C20" s="3">
        <v>222336.07</v>
      </c>
      <c r="D20" s="3">
        <f>E20-C20</f>
        <v>-125065.90</v>
      </c>
      <c r="E20" s="3">
        <v>97270.17</v>
      </c>
    </row>
    <row r="21" ht="19" customHeight="1">
      <c r="A21" s="0" t="inlineStr">
        <is>
          <t>1940</t>
        </is>
      </c>
      <c r="B21" s="0" t="inlineStr">
        <is>
          <t>Övriga bankkonton</t>
        </is>
      </c>
      <c r="C21" s="3">
        <v>0.00</v>
      </c>
      <c r="D21" s="3">
        <f>E21-C21</f>
        <v>0.00</v>
      </c>
      <c r="E21" s="3">
        <v>0.00</v>
      </c>
    </row>
    <row r="22" ht="19" customHeight="1">
      <c r="A22" s="4" t="inlineStr">
        <is>
          <t/>
        </is>
      </c>
      <c r="B22" s="4" t="inlineStr">
        <is>
          <t>Summa omsättningstillgångar</t>
        </is>
      </c>
      <c r="C22" s="4">
        <f>C15+C16+C17+C18+C19+C20+C21</f>
        <v>240425.85</v>
      </c>
      <c r="D22" s="4">
        <f>D15+D16+D17+D18+D19+D20+D21</f>
        <v>101348.32</v>
      </c>
      <c r="E22" s="4">
        <f>E15+E16+E17+E18+E19+E20+E21</f>
        <v>341774.17</v>
      </c>
    </row>
    <row r="23" ht="19" customHeight="1">
      <c r="A23" s="4" t="inlineStr">
        <is>
          <t/>
        </is>
      </c>
      <c r="B23" s="4" t="inlineStr">
        <is>
          <t>Summa tillgångar</t>
        </is>
      </c>
      <c r="C23" s="4">
        <f>C13+C22</f>
        <v>1186791.06</v>
      </c>
      <c r="D23" s="4">
        <f>D13+D22</f>
        <v>295755.11</v>
      </c>
      <c r="E23" s="4">
        <f>E13+E22</f>
        <v>1482546.17</v>
      </c>
    </row>
    <row r="24" ht="19" customHeight="1">
      <c r="A24" s="2" t="inlineStr">
        <is>
          <t/>
        </is>
      </c>
      <c r="B24" s="2" t="inlineStr">
        <is>
          <t>Eget kapital och skulder</t>
        </is>
      </c>
    </row>
    <row r="25" ht="19" customHeight="1">
      <c r="A25" s="2" t="inlineStr">
        <is>
          <t/>
        </is>
      </c>
      <c r="B25" s="2" t="inlineStr">
        <is>
          <t>Eget kapital</t>
        </is>
      </c>
    </row>
    <row r="26" ht="19" customHeight="1">
      <c r="A26" s="0" t="inlineStr">
        <is>
          <t>2081</t>
        </is>
      </c>
      <c r="B26" s="0" t="inlineStr">
        <is>
          <t>Aktiekapital</t>
        </is>
      </c>
      <c r="C26" s="3">
        <v>100000.00</v>
      </c>
      <c r="D26" s="3">
        <f>E26-C26</f>
        <v>0.00</v>
      </c>
      <c r="E26" s="3">
        <v>100000.00</v>
      </c>
    </row>
    <row r="27" ht="19" customHeight="1">
      <c r="A27" s="0" t="inlineStr">
        <is>
          <t>2091</t>
        </is>
      </c>
      <c r="B27" s="0" t="inlineStr">
        <is>
          <t>Balanserad vinst eller förlust</t>
        </is>
      </c>
      <c r="C27" s="3">
        <v>-0.00</v>
      </c>
      <c r="D27" s="3">
        <f>E27-C27</f>
        <v>111671.00</v>
      </c>
      <c r="E27" s="3">
        <v>111671.00</v>
      </c>
    </row>
    <row r="28" ht="19" customHeight="1">
      <c r="A28" s="0" t="inlineStr">
        <is>
          <t>2098</t>
        </is>
      </c>
      <c r="B28" s="0" t="inlineStr">
        <is>
          <t>Vinst eller förlust från föregående år</t>
        </is>
      </c>
      <c r="C28" s="3">
        <v>104745.16</v>
      </c>
      <c r="D28" s="3">
        <f>E28-C28</f>
        <v>-104745.00</v>
      </c>
      <c r="E28" s="3">
        <v>0.16</v>
      </c>
    </row>
    <row r="29" ht="19" customHeight="1">
      <c r="A29" s="0" t="inlineStr">
        <is>
          <t>2099</t>
        </is>
      </c>
      <c r="B29" s="0" t="inlineStr">
        <is>
          <t>Årets resultat</t>
        </is>
      </c>
      <c r="C29" s="3">
        <v>6926.24</v>
      </c>
      <c r="D29" s="3">
        <f>E29-C29</f>
        <v>162658.22</v>
      </c>
      <c r="E29" s="3">
        <v>169584.46</v>
      </c>
    </row>
    <row r="30" ht="19" customHeight="1">
      <c r="A30" s="4" t="inlineStr">
        <is>
          <t/>
        </is>
      </c>
      <c r="B30" s="4" t="inlineStr">
        <is>
          <t>Summa eget kapital</t>
        </is>
      </c>
      <c r="C30" s="4">
        <f>C26+C27+C28+C29</f>
        <v>211671.40</v>
      </c>
      <c r="D30" s="4">
        <f>D26+D27+D28+D29</f>
        <v>169584.22</v>
      </c>
      <c r="E30" s="4">
        <f>E26+E27+E28+E29</f>
        <v>381255.62</v>
      </c>
    </row>
    <row r="31" ht="19" customHeight="1">
      <c r="A31" s="2" t="inlineStr">
        <is>
          <t/>
        </is>
      </c>
      <c r="B31" s="2" t="inlineStr">
        <is>
          <t>Obeskattade reserver</t>
        </is>
      </c>
    </row>
    <row r="32" ht="19" customHeight="1">
      <c r="A32" s="0" t="inlineStr">
        <is>
          <t>2125</t>
        </is>
      </c>
      <c r="B32" s="0" t="inlineStr">
        <is>
          <t>Periodiseringsfond 2022</t>
        </is>
      </c>
      <c r="C32" s="3">
        <v>15012.00</v>
      </c>
      <c r="D32" s="3">
        <f>E32-C32</f>
        <v>0.00</v>
      </c>
      <c r="E32" s="3">
        <v>15012.00</v>
      </c>
    </row>
    <row r="33" ht="19" customHeight="1">
      <c r="A33" s="0" t="inlineStr">
        <is>
          <t>2126</t>
        </is>
      </c>
      <c r="B33" s="0" t="inlineStr">
        <is>
          <t>Periodiseringsfond 2023</t>
        </is>
      </c>
      <c r="C33" s="3">
        <v>8077.00</v>
      </c>
      <c r="D33" s="3">
        <f>E33-C33</f>
        <v>0.00</v>
      </c>
      <c r="E33" s="3">
        <v>8077.00</v>
      </c>
    </row>
    <row r="34" ht="19" customHeight="1">
      <c r="A34" s="0" t="inlineStr">
        <is>
          <t>2129</t>
        </is>
      </c>
      <c r="B34" s="0" t="inlineStr">
        <is>
          <t>Periodiseringsfond 2019</t>
        </is>
      </c>
      <c r="C34" s="3">
        <v>71540.00</v>
      </c>
      <c r="D34" s="3">
        <f>E34-C34</f>
        <v>-71540.00</v>
      </c>
      <c r="E34" s="3">
        <v>-0.00</v>
      </c>
    </row>
    <row r="35" ht="19" customHeight="1">
      <c r="A35" s="0" t="inlineStr">
        <is>
          <t>2136</t>
        </is>
      </c>
      <c r="B35" s="0" t="inlineStr">
        <is>
          <t>Periodiseringsfond 2026 - nr 2 (2025-05-01 till 2026-04-30)</t>
        </is>
      </c>
      <c r="C35" s="3">
        <v>-0.00</v>
      </c>
      <c r="D35" s="3">
        <f>E35-C35</f>
        <v>73575.00</v>
      </c>
      <c r="E35" s="3">
        <v>73575.00</v>
      </c>
    </row>
    <row r="36" ht="19" customHeight="1">
      <c r="A36" s="4" t="inlineStr">
        <is>
          <t/>
        </is>
      </c>
      <c r="B36" s="4" t="inlineStr">
        <is>
          <t>Summa obeskattade reserver</t>
        </is>
      </c>
      <c r="C36" s="4">
        <f>C32+C33+C34+C35</f>
        <v>94629.00</v>
      </c>
      <c r="D36" s="4">
        <f>D32+D33+D34+D35</f>
        <v>2035.00</v>
      </c>
      <c r="E36" s="4">
        <f>E32+E33+E34+E35</f>
        <v>96664.00</v>
      </c>
    </row>
    <row r="37" ht="19" customHeight="1">
      <c r="A37" s="2" t="inlineStr">
        <is>
          <t/>
        </is>
      </c>
      <c r="B37" s="2" t="inlineStr">
        <is>
          <t>Långfristiga skulder</t>
        </is>
      </c>
    </row>
    <row r="38" ht="19" customHeight="1">
      <c r="A38" s="0" t="inlineStr">
        <is>
          <t>2390</t>
        </is>
      </c>
      <c r="B38" s="0" t="inlineStr">
        <is>
          <t>Övriga långfristiga skulder</t>
        </is>
      </c>
      <c r="C38" s="3">
        <v>879065.00</v>
      </c>
      <c r="D38" s="3">
        <f>E38-C38</f>
        <v>0.00</v>
      </c>
      <c r="E38" s="3">
        <v>879065.00</v>
      </c>
    </row>
    <row r="39" ht="19" customHeight="1">
      <c r="A39" s="4" t="inlineStr">
        <is>
          <t/>
        </is>
      </c>
      <c r="B39" s="4" t="inlineStr">
        <is>
          <t>Summa långfristiga skulder</t>
        </is>
      </c>
      <c r="C39" s="4">
        <f>C38</f>
        <v>879065.00</v>
      </c>
      <c r="D39" s="4">
        <f>D38</f>
        <v>0.00</v>
      </c>
      <c r="E39" s="4">
        <f>E38</f>
        <v>879065.00</v>
      </c>
    </row>
    <row r="40" ht="19" customHeight="1">
      <c r="A40" s="2" t="inlineStr">
        <is>
          <t/>
        </is>
      </c>
      <c r="B40" s="2" t="inlineStr">
        <is>
          <t>Kortfristiga skulder</t>
        </is>
      </c>
    </row>
    <row r="41" ht="19" customHeight="1">
      <c r="A41" s="0" t="inlineStr">
        <is>
          <t>2440</t>
        </is>
      </c>
      <c r="B41" s="0" t="inlineStr">
        <is>
          <t>Leverantörsskulder</t>
        </is>
      </c>
      <c r="C41" s="3">
        <v>-0.00</v>
      </c>
      <c r="D41" s="3">
        <f>E41-C41</f>
        <v>0.00</v>
      </c>
      <c r="E41" s="3">
        <v>-0.00</v>
      </c>
    </row>
    <row r="42" ht="19" customHeight="1">
      <c r="A42" s="0" t="inlineStr">
        <is>
          <t>2441</t>
        </is>
      </c>
      <c r="B42" s="0" t="inlineStr">
        <is>
          <t>Leverantörsskulder</t>
        </is>
      </c>
      <c r="C42" s="3">
        <v>-0.00</v>
      </c>
      <c r="D42" s="3">
        <f>E42-C42</f>
        <v>0.00</v>
      </c>
      <c r="E42" s="3">
        <v>-0.00</v>
      </c>
    </row>
    <row r="43" ht="19" customHeight="1">
      <c r="A43" s="0" t="inlineStr">
        <is>
          <t>2510</t>
        </is>
      </c>
      <c r="B43" s="0" t="inlineStr">
        <is>
          <t>Skatteskulder</t>
        </is>
      </c>
      <c r="C43" s="3">
        <v>-0.00</v>
      </c>
      <c r="D43" s="3">
        <f>E43-C43</f>
        <v>0.00</v>
      </c>
      <c r="E43" s="3">
        <v>-0.00</v>
      </c>
    </row>
    <row r="44" ht="19" customHeight="1">
      <c r="A44" s="0" t="inlineStr">
        <is>
          <t>2512</t>
        </is>
      </c>
      <c r="B44" s="0" t="inlineStr">
        <is>
          <t>Beräknad inkomstskatt</t>
        </is>
      </c>
      <c r="C44" s="3">
        <v>1426.00</v>
      </c>
      <c r="D44" s="3">
        <f>E44-C44</f>
        <v>44042.00</v>
      </c>
      <c r="E44" s="3">
        <v>45468.00</v>
      </c>
    </row>
    <row r="45" ht="19" customHeight="1">
      <c r="A45" s="0" t="inlineStr">
        <is>
          <t>2518</t>
        </is>
      </c>
      <c r="B45" s="0" t="inlineStr">
        <is>
          <t>Betald F-skatt</t>
        </is>
      </c>
      <c r="C45" s="3">
        <v>-0.00</v>
      </c>
      <c r="D45" s="3">
        <f>E45-C45</f>
        <v>-733.11</v>
      </c>
      <c r="E45" s="3">
        <v>-733.11</v>
      </c>
    </row>
    <row r="46" ht="19" customHeight="1">
      <c r="A46" s="0" t="inlineStr">
        <is>
          <t>2611</t>
        </is>
      </c>
      <c r="B46" s="0" t="inlineStr">
        <is>
          <t>Utgående moms på försäljning inom Sverige, 25 %</t>
        </is>
      </c>
      <c r="C46" s="3">
        <v>-0.00</v>
      </c>
      <c r="D46" s="3">
        <f>E46-C46</f>
        <v>0.00</v>
      </c>
      <c r="E46" s="3">
        <v>-0.00</v>
      </c>
    </row>
    <row r="47" ht="19" customHeight="1">
      <c r="A47" s="0" t="inlineStr">
        <is>
          <t>2640</t>
        </is>
      </c>
      <c r="B47" s="0" t="inlineStr">
        <is>
          <t>Ingående moms</t>
        </is>
      </c>
      <c r="C47" s="3">
        <v>-0.00</v>
      </c>
      <c r="D47" s="3">
        <f>E47-C47</f>
        <v>-1299.00</v>
      </c>
      <c r="E47" s="3">
        <v>-1299.00</v>
      </c>
    </row>
    <row r="48" ht="19" customHeight="1">
      <c r="A48" s="0" t="inlineStr">
        <is>
          <t>2641</t>
        </is>
      </c>
      <c r="B48" s="0" t="inlineStr">
        <is>
          <t>Debiterad ingående moms</t>
        </is>
      </c>
      <c r="C48" s="3">
        <v>-0.00</v>
      </c>
      <c r="D48" s="3">
        <f>E48-C48</f>
        <v>0.00</v>
      </c>
      <c r="E48" s="3">
        <v>-0.00</v>
      </c>
    </row>
    <row r="49" ht="19" customHeight="1">
      <c r="A49" s="0" t="inlineStr">
        <is>
          <t>2650</t>
        </is>
      </c>
      <c r="B49" s="0" t="inlineStr">
        <is>
          <t>Redovisningskonto för moms</t>
        </is>
      </c>
      <c r="C49" s="3">
        <v>-0.00</v>
      </c>
      <c r="D49" s="3">
        <f>E49-C49</f>
        <v>82126.00</v>
      </c>
      <c r="E49" s="3">
        <v>82126.00</v>
      </c>
    </row>
    <row r="50" ht="19" customHeight="1">
      <c r="A50" s="4" t="inlineStr">
        <is>
          <t/>
        </is>
      </c>
      <c r="B50" s="4" t="inlineStr">
        <is>
          <t>Summa kortfristiga skulder</t>
        </is>
      </c>
      <c r="C50" s="4">
        <f>C41+C42+C43+C44+C45+C46+C47+C48+C49</f>
        <v>1426.00</v>
      </c>
      <c r="D50" s="4">
        <f>D41+D42+D43+D44+D45+D46+D47+D48+D49</f>
        <v>124135.89</v>
      </c>
      <c r="E50" s="4">
        <f>E41+E42+E43+E44+E45+E46+E47+E48+E49</f>
        <v>125561.89</v>
      </c>
    </row>
    <row r="51" ht="19" customHeight="1">
      <c r="A51" s="4" t="inlineStr">
        <is>
          <t/>
        </is>
      </c>
      <c r="B51" s="4" t="inlineStr">
        <is>
          <t>Summa eget kapital och skulder</t>
        </is>
      </c>
      <c r="C51" s="4">
        <f>C30+C36+C39+C50</f>
        <v>1186791.40</v>
      </c>
      <c r="D51" s="4">
        <f>D30+D36+D39+D50</f>
        <v>295755.11</v>
      </c>
      <c r="E51" s="4">
        <f>E30+E36+E39+E50</f>
        <v>1482546.51</v>
      </c>
    </row>
    <row r="52" ht="19" customHeight="1">
      <c r="A52" s="5" t="inlineStr">
        <is>
          <t/>
        </is>
      </c>
      <c r="B52" s="5" t="inlineStr">
        <is>
          <t>Kontrolldifferens: tillgångar minus eget kapital och skulder</t>
        </is>
      </c>
      <c r="C52" s="5">
        <f>C23-C51</f>
        <v>-0.34</v>
      </c>
      <c r="D52" s="5">
        <f>D23-D51</f>
        <v>0.00</v>
      </c>
      <c r="E52" s="5">
        <f>E23-E51</f>
        <v>-0.34</v>
      </c>
    </row>
    <row r="55" ht="34" customHeight="1">
      <c r="A55" s="6" t="inlineStr">
        <is>
          <t>Kontrolldifferens −0,34 SEK finns redan i ingående SIE-balans och kvarstår i utgående balans. Ingen justeringspost har lagts till i rapporten.</t>
        </is>
      </c>
    </row>
    <row r="56" ht="34" customHeight="1">
      <c r="A56" s="6" t="inlineStr">
        <is>
          <t>Konto 2518 innehåller 733,11 SEK preliminärt omklassificerad historisk differens; orsaken är ännu inte fastställd.</t>
        </is>
      </c>
    </row>
    <row r="57" ht="34" customHeight="1">
      <c r="A57" s="6" t="inlineStr">
        <is>
          <t>Skatteberäkningen förutsätter inga inrullade skattemässiga underskott och att årets datoravskrivning är avdragsgill.</t>
        </is>
      </c>
    </row>
  </sheetData>
  <mergeCells count="7">
    <mergeCell ref="A1:E1"/>
    <mergeCell ref="A2:E2"/>
    <mergeCell ref="A3:E3"/>
    <mergeCell ref="A4:E4"/>
    <mergeCell ref="A55:E55"/>
    <mergeCell ref="A56:E56"/>
    <mergeCell ref="A57:E57"/>
  </mergeCells>
  <pageMargins left="0.3" right="0.3" top="0.4" bottom="0.4" header="0.2" footer="0.2"/>
  <pageSetup paperSize="9" orientation="landscape" fitToWidth="1" fitToHeight="1"/>
</worksheet>
</file>